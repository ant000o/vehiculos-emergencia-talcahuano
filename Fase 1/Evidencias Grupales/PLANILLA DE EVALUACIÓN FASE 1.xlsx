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 UC\2026-2\PTY4614 - CAPSTONE\Sección 001D\Campos-Reyes C-Reyes I\"/>
    </mc:Choice>
  </mc:AlternateContent>
  <xr:revisionPtr revIDLastSave="0" documentId="13_ncr:1_{FD1A1554-9131-4CA0-B2ED-7093DA3DDBD8}" xr6:coauthVersionLast="47" xr6:coauthVersionMax="47" xr10:uidLastSave="{00000000-0000-0000-0000-000000000000}"/>
  <bookViews>
    <workbookView xWindow="-120" yWindow="-120" windowWidth="29040" windowHeight="15720" xr2:uid="{00000000-000D-0000-FFFF-FFFF00000000}"/>
  </bookViews>
  <sheets>
    <sheet name="EVALUACION1" sheetId="1" r:id="rId1"/>
    <sheet name="Hoja1" sheetId="7" r:id="rId2"/>
    <sheet name="RUBRICA" sheetId="6" r:id="rId3"/>
    <sheet name="ESCALA_IEP" sheetId="2" state="hidden" r:id="rId4"/>
    <sheet name="ESCALA_PRESENTACION" sheetId="3" state="hidden" r:id="rId5"/>
    <sheet name="ESCALA_TRAB_EQUIP" sheetId="4" state="hidden" r:id="rId6"/>
    <sheet name="RELEVANCIA-PUNTAJE" sheetId="5"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<sst xmlns="http://schemas.openxmlformats.org/spreadsheetml/2006/main" count="205" uniqueCount="129">
  <si>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</si>
  <si>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</si>
  <si>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</si>
  <si>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</si>
  <si>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</si>
  <si>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</si>
  <si>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</si>
  <si>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</si>
  <si>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</si>
  <si>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</si>
  <si>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</si>
  <si>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</si>
  <si>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</si>
  <si>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</si>
  <si>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</si>
  <si>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</si>
  <si>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</si>
  <si>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</si>
  <si>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</si>
  <si>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</si>
  <si>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</si>
  <si>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</si>
  <si>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</si>
  <si>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</si>
  <si>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</si>
  <si>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</si>
  <si>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</si>
  <si>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</si>
  <si>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</si>
  <si>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</si>
  <si>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</si>
  <si>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</si>
  <si>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</si>
  <si>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</si>
  <si>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</si>
  <si>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</si>
  <si>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</si>
  <si>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</si>
  <si>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</si>
  <si>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</si>
  <si>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</si>
  <si>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</si>
  <si>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</si>
  <si>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</si>
  <si>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</si>
  <si>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</si>
  <si>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</si>
  <si>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</si>
  <si>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</si>
  <si>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</si>
  <si>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</si>
  <si>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</si>
  <si>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</si>
  <si>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</si>
  <si>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</si>
  <si>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</si>
  <si>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</si>
  <si>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</si>
  <si>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</si>
  <si>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</si>
  <si>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</si>
  <si>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</si>
  <si>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</si>
  <si>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</si>
  <si>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</si>
  <si>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</si>
  <si>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</si>
  <si>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</si>
  <si>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</si>
  <si>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</si>
  <si>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</si>
  <si>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</si>
  <si>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</si>
  <si>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</si>
  <si>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</si>
  <si>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</si>
  <si>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</si>
  <si>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</si>
  <si>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</si>
  <si>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</si>
  <si>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</si>
  <si>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</si>
  <si>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</si>
  <si>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</si>
  <si>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</si>
  <si>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</si>
  <si>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</si>
  <si>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</si>
  <si>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</si>
  <si>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</si>
  <si>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</si>
  <si>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</si>
  <si>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</si>
  <si>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</si>
  <si>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</si>
  <si>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Antonio Campos</t>
  </si>
  <si>
    <t>Carlo Reyes</t>
  </si>
  <si>
    <t>Ignacia Reyes</t>
  </si>
  <si>
    <t>Actividad</t>
  </si>
  <si>
    <t>Fase 1</t>
  </si>
  <si>
    <t>Fase 2</t>
  </si>
  <si>
    <t>Fase 3</t>
  </si>
  <si>
    <t>S 1</t>
  </si>
  <si>
    <t>S 2</t>
  </si>
  <si>
    <t>S 3</t>
  </si>
  <si>
    <t>S 4</t>
  </si>
  <si>
    <t>S 5</t>
  </si>
  <si>
    <t>S 6</t>
  </si>
  <si>
    <t>S 7</t>
  </si>
  <si>
    <t>S 8</t>
  </si>
  <si>
    <t>S 9</t>
  </si>
  <si>
    <t>S 10</t>
  </si>
  <si>
    <t>S 11</t>
  </si>
  <si>
    <t>S 12</t>
  </si>
  <si>
    <t>S 13</t>
  </si>
  <si>
    <t>S 14</t>
  </si>
  <si>
    <t>S 15</t>
  </si>
  <si>
    <t>S 16</t>
  </si>
  <si>
    <t>S 17</t>
  </si>
  <si>
    <t>S 18</t>
  </si>
  <si>
    <t>Fase inicial y levantamiento</t>
  </si>
  <si>
    <t>X</t>
  </si>
  <si>
    <t xml:space="preserve">Requerimientos y Product Backlog </t>
  </si>
  <si>
    <t>Sprint 0</t>
  </si>
  <si>
    <t xml:space="preserve">Sprint 1 </t>
  </si>
  <si>
    <t>Sprint 2</t>
  </si>
  <si>
    <t>Sprint 3</t>
  </si>
  <si>
    <t xml:space="preserve">Validación y Verificación </t>
  </si>
  <si>
    <t xml:space="preserve">Retrospectiva y Presentación Final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</si>
</sst>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
      <b/>
      <sz val="8"/>
      <color rgb="FF000000"/>
      <name val="Calibri"/>
      <family val="2"/>
    </font>
  </fonts>
  <fills count="12">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E2EFD9"/>
        <bgColor indexed="64"/>
      </patternFill>
    </fill>
    <fill>
      <patternFill patternType="solid">
        <fgColor rgb="FFFFF2CB"/>
        <bgColor indexed="64"/>
      </patternFill>
    </fill>
    <fill>
      <patternFill patternType="solid">
        <fgColor rgb="FFFBE4D5"/>
        <bgColor indexed="64"/>
      </patternFill>
    </fill>
  </fills>
  <borders count="3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right style="medium">
        <color rgb="FFBFBFBF"/>
      </right>
      <top style="medium">
        <color rgb="FFBFBFBF"/>
      </top>
      <bottom style="medium">
        <color rgb="FFBFBFBF"/>
      </bottom>
      <diagonal/>
    </border>
    <border>
      <left/>
      <right/>
      <top style="medium">
        <color rgb="FFBFBFBF"/>
      </top>
      <bottom style="medium">
        <color rgb="FFBFBFBF"/>
      </bottom>
      <diagonal/>
    </border>
    <border>
      <left/>
      <right style="medium">
        <color rgb="FFBFBFBF"/>
      </right>
      <top/>
      <bottom style="medium">
        <color rgb="FFBFBFBF"/>
      </bottom>
      <diagonal/>
    </border>
    <border>
      <left style="medium">
        <color rgb="FFBFBFBF"/>
      </left>
      <right/>
      <top style="medium">
        <color rgb="FFBFBFBF"/>
      </top>
      <bottom style="medium">
        <color rgb="FFBFBFBF"/>
      </bottom>
      <diagonal/>
    </border>
  </borders>
  <cellStyleXfs count="1">
    <xf numFmtId="0" fontId="0" fillId="0" borderId="0"/>
  </cellStyleXfs>
  <cellXfs count="10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4" fillId="0" borderId="37" xfId="0" applyFont="1" applyBorder="1" applyAlignment="1">
      <alignment horizontal="center" vertical="center" wrapText="1"/>
    </xf>
    <xf numFmtId="0" fontId="13" fillId="0" borderId="0" xfId="0" applyFont="1" applyAlignment="1">
      <alignment vertical="center" wrapText="1"/>
    </xf>
    <xf numFmtId="0" fontId="14" fillId="0" borderId="34" xfId="0" applyFont="1" applyBorder="1" applyAlignment="1">
      <alignment horizontal="justify" vertical="center" wrapText="1"/>
    </xf>
    <xf numFmtId="0" fontId="14" fillId="9" borderId="37" xfId="0" applyFont="1" applyFill="1" applyBorder="1" applyAlignment="1">
      <alignment horizontal="justify" vertical="center" wrapText="1"/>
    </xf>
    <xf numFmtId="0" fontId="14" fillId="0" borderId="37" xfId="0" applyFont="1" applyBorder="1" applyAlignment="1">
      <alignment horizontal="justify" vertical="center" wrapText="1"/>
    </xf>
    <xf numFmtId="0" fontId="14" fillId="10" borderId="37" xfId="0" applyFont="1" applyFill="1" applyBorder="1" applyAlignment="1">
      <alignment horizontal="justify" vertical="center" wrapText="1"/>
    </xf>
    <xf numFmtId="0" fontId="14" fillId="10" borderId="0" xfId="0" applyFont="1" applyFill="1" applyAlignment="1">
      <alignment horizontal="justify" vertical="center" wrapText="1"/>
    </xf>
    <xf numFmtId="0" fontId="14" fillId="11" borderId="37" xfId="0" applyFont="1" applyFill="1" applyBorder="1" applyAlignment="1">
      <alignment horizontal="justify" vertical="center" wrapText="1"/>
    </xf>
    <xf numFmtId="0" fontId="14" fillId="0" borderId="33" xfId="0" applyFont="1" applyBorder="1" applyAlignment="1">
      <alignment horizontal="justify" vertical="center" wrapText="1"/>
    </xf>
    <xf numFmtId="0" fontId="14" fillId="0" borderId="34" xfId="0" applyFont="1" applyBorder="1" applyAlignment="1">
      <alignment horizontal="justify" vertical="center" wrapText="1"/>
    </xf>
    <xf numFmtId="0" fontId="14" fillId="9" borderId="36" xfId="0" applyFont="1" applyFill="1" applyBorder="1" applyAlignment="1">
      <alignment horizontal="center" vertical="center" wrapText="1"/>
    </xf>
    <xf numFmtId="0" fontId="14" fillId="9" borderId="38" xfId="0" applyFont="1" applyFill="1" applyBorder="1" applyAlignment="1">
      <alignment horizontal="center" vertical="center" wrapText="1"/>
    </xf>
    <xf numFmtId="0" fontId="14" fillId="9" borderId="35" xfId="0" applyFont="1" applyFill="1" applyBorder="1" applyAlignment="1">
      <alignment horizontal="center" vertical="center" wrapText="1"/>
    </xf>
    <xf numFmtId="0" fontId="14" fillId="10" borderId="36" xfId="0" applyFont="1" applyFill="1" applyBorder="1" applyAlignment="1">
      <alignment horizontal="center" vertical="center" wrapText="1"/>
    </xf>
    <xf numFmtId="0" fontId="14" fillId="10" borderId="38" xfId="0" applyFont="1" applyFill="1" applyBorder="1" applyAlignment="1">
      <alignment horizontal="center" vertical="center" wrapText="1"/>
    </xf>
    <xf numFmtId="0" fontId="14" fillId="10" borderId="35" xfId="0" applyFont="1" applyFill="1" applyBorder="1" applyAlignment="1">
      <alignment horizontal="center" vertical="center" wrapText="1"/>
    </xf>
    <xf numFmtId="0" fontId="14" fillId="11" borderId="36" xfId="0" applyFont="1" applyFill="1" applyBorder="1" applyAlignment="1">
      <alignment horizontal="center" vertical="center" wrapText="1"/>
    </xf>
    <xf numFmtId="0" fontId="14" fillId="11" borderId="38" xfId="0" applyFont="1" applyFill="1" applyBorder="1" applyAlignment="1">
      <alignment horizontal="center" vertical="center" wrapText="1"/>
    </xf>
    <xf numFmtId="0" fontId="14" fillId="11" borderId="35" xfId="0" applyFont="1" applyFill="1" applyBorder="1" applyAlignment="1">
      <alignment horizontal="center" vertical="center" wrapText="1"/>
    </xf>
    <xf numFmtId="0" fontId="14" fillId="0" borderId="38" xfId="0" applyFont="1" applyBorder="1" applyAlignment="1">
      <alignment horizontal="center" vertical="center" wrapText="1"/>
    </xf>
    <xf numFmtId="0" fontId="14" fillId="0" borderId="35" xfId="0" applyFont="1" applyBorder="1" applyAlignment="1">
      <alignment horizontal="center" vertical="center" wrapText="1"/>
    </xf>
    <xf numFmtId="0" fontId="14" fillId="0" borderId="38" xfId="0" applyFont="1" applyBorder="1" applyAlignment="1">
      <alignment horizontal="justify" vertical="center" wrapText="1"/>
    </xf>
    <xf numFmtId="0" fontId="14" fillId="0" borderId="35" xfId="0" applyFont="1" applyBorder="1" applyAlignment="1">
      <alignment horizontal="justify" vertical="center" wrapText="1"/>
    </xf>
    <xf numFmtId="0" fontId="14" fillId="11" borderId="38" xfId="0" applyFont="1" applyFill="1" applyBorder="1" applyAlignment="1">
      <alignment horizontal="justify" vertical="center" wrapText="1"/>
    </xf>
    <xf numFmtId="0" fontId="14" fillId="11" borderId="35" xfId="0" applyFont="1" applyFill="1" applyBorder="1" applyAlignment="1">
      <alignment horizontal="justify"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H18" sqref="H1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5.7</v>
      </c>
      <c r="D4" s="6">
        <f>$C$35</f>
        <v>7</v>
      </c>
      <c r="E4" s="43">
        <f>C4*C$2+D4*D$2</f>
        <v>6.0250000000000004</v>
      </c>
      <c r="G4" s="1"/>
    </row>
    <row r="5" spans="1:11" x14ac:dyDescent="0.25">
      <c r="A5" s="5">
        <v>2</v>
      </c>
      <c r="B5" s="32" t="s">
        <v>96</v>
      </c>
      <c r="C5" s="6">
        <f>EVALUACION1!$C$24</f>
        <v>5.7</v>
      </c>
      <c r="D5" s="6">
        <f>C47</f>
        <v>7</v>
      </c>
      <c r="E5" s="43">
        <f t="shared" ref="E5:E6" si="0">C5*C$2+D5*D$2</f>
        <v>6.0250000000000004</v>
      </c>
      <c r="G5" s="1"/>
    </row>
    <row r="6" spans="1:11" x14ac:dyDescent="0.25">
      <c r="A6" s="5">
        <v>3</v>
      </c>
      <c r="B6" s="32" t="s">
        <v>97</v>
      </c>
      <c r="C6" s="6">
        <f>EVALUACION1!$C$24</f>
        <v>5.7</v>
      </c>
      <c r="D6" s="6">
        <f>C58</f>
        <v>7</v>
      </c>
      <c r="E6" s="43">
        <f t="shared" si="0"/>
        <v>6.0250000000000004</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8</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8</v>
      </c>
      <c r="D22" s="16" t="str">
        <f t="shared" si="12"/>
        <v/>
      </c>
      <c r="E22" s="16" t="str">
        <f>IF(D22="X",100*0.1,"")</f>
        <v/>
      </c>
      <c r="F22" s="16" t="str">
        <f t="shared" si="14"/>
        <v>X</v>
      </c>
      <c r="G22" s="16">
        <f>IF(F22="X",60*0.1,"")</f>
        <v>6</v>
      </c>
      <c r="H22" s="16" t="str">
        <f t="shared" si="16"/>
        <v/>
      </c>
      <c r="I22" s="16" t="str">
        <f>IF(H22="X",30*0.1,"")</f>
        <v/>
      </c>
      <c r="J22" s="16" t="str">
        <f t="shared" si="18"/>
        <v/>
      </c>
      <c r="K22" s="16" t="str">
        <f t="shared" si="19"/>
        <v/>
      </c>
    </row>
    <row r="23" spans="1:11" ht="15.75" customHeight="1" outlineLevel="1" x14ac:dyDescent="0.3">
      <c r="A23" s="62"/>
      <c r="B23" s="34" t="s">
        <v>11</v>
      </c>
      <c r="C23" s="37">
        <f>E23+G23+I23+K23</f>
        <v>58</v>
      </c>
      <c r="D23" s="19"/>
      <c r="E23" s="19">
        <f>SUM(E13:E22)</f>
        <v>40</v>
      </c>
      <c r="F23" s="19"/>
      <c r="G23" s="19">
        <f>SUM(G13:G22)</f>
        <v>18</v>
      </c>
      <c r="H23" s="19"/>
      <c r="I23" s="19">
        <f>SUM(I13:I22)</f>
        <v>0</v>
      </c>
      <c r="J23" s="19"/>
      <c r="K23" s="19">
        <f>SUM(K13:K22)</f>
        <v>0</v>
      </c>
    </row>
    <row r="24" spans="1:11" ht="15.75" customHeight="1" outlineLevel="1" x14ac:dyDescent="0.3">
      <c r="A24" s="50"/>
      <c r="B24" s="36" t="s">
        <v>12</v>
      </c>
      <c r="C24" s="20">
        <f>VLOOKUP(C23,ESCALA_IEP!A2:B142,2,FALSE)</f>
        <v>5.7</v>
      </c>
    </row>
    <row r="25" spans="1:11" ht="15.75" customHeight="1" x14ac:dyDescent="0.25"/>
    <row r="26" spans="1:11" ht="15.75" customHeight="1" x14ac:dyDescent="0.25"/>
    <row r="27" spans="1:11" ht="15.75" customHeight="1" x14ac:dyDescent="0.25">
      <c r="A27" s="61" t="s">
        <v>13</v>
      </c>
      <c r="B27" s="49" t="s">
        <v>14</v>
      </c>
      <c r="C27" s="51" t="str">
        <f>$B$4</f>
        <v>Antonio Campos</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Carlo Reyes</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Ignacia Reyes</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9A063-1425-47D8-9BC0-91C7223FF46A}">
  <dimension ref="F7:Z17"/>
  <sheetViews>
    <sheetView workbookViewId="0">
      <selection activeCell="F1" sqref="F1:F1048576"/>
    </sheetView>
  </sheetViews>
  <sheetFormatPr baseColWidth="10" defaultRowHeight="15" x14ac:dyDescent="0.25"/>
  <sheetData>
    <row r="7" spans="6:26" ht="15.75" thickBot="1" x14ac:dyDescent="0.3"/>
    <row r="8" spans="6:26" ht="15.75" thickBot="1" x14ac:dyDescent="0.3">
      <c r="F8" s="87" t="s">
        <v>98</v>
      </c>
      <c r="G8" s="90" t="s">
        <v>99</v>
      </c>
      <c r="H8" s="89"/>
      <c r="I8" s="89"/>
      <c r="J8" s="91"/>
      <c r="K8" s="93" t="s">
        <v>100</v>
      </c>
      <c r="L8" s="92"/>
      <c r="M8" s="92"/>
      <c r="N8" s="92"/>
      <c r="O8" s="92"/>
      <c r="P8" s="92"/>
      <c r="Q8" s="92"/>
      <c r="R8" s="92"/>
      <c r="S8" s="92"/>
      <c r="T8" s="92"/>
      <c r="U8" s="92"/>
      <c r="V8" s="94"/>
      <c r="W8" s="96" t="s">
        <v>101</v>
      </c>
      <c r="X8" s="95"/>
      <c r="Y8" s="95"/>
      <c r="Z8" s="97"/>
    </row>
    <row r="9" spans="6:26" ht="15.75" thickBot="1" x14ac:dyDescent="0.3">
      <c r="F9" s="88"/>
      <c r="G9" s="79" t="s">
        <v>102</v>
      </c>
      <c r="H9" s="79" t="s">
        <v>103</v>
      </c>
      <c r="I9" s="79" t="s">
        <v>104</v>
      </c>
      <c r="J9" s="79" t="s">
        <v>105</v>
      </c>
      <c r="K9" s="79" t="s">
        <v>106</v>
      </c>
      <c r="L9" s="79" t="s">
        <v>107</v>
      </c>
      <c r="M9" s="79" t="s">
        <v>108</v>
      </c>
      <c r="N9" s="79" t="s">
        <v>109</v>
      </c>
      <c r="O9" s="79" t="s">
        <v>110</v>
      </c>
      <c r="P9" s="79" t="s">
        <v>111</v>
      </c>
      <c r="Q9" s="79" t="s">
        <v>112</v>
      </c>
      <c r="R9" s="79" t="s">
        <v>113</v>
      </c>
      <c r="S9" s="79" t="s">
        <v>114</v>
      </c>
      <c r="T9" s="79" t="s">
        <v>115</v>
      </c>
      <c r="U9" s="79" t="s">
        <v>116</v>
      </c>
      <c r="V9" s="98" t="s">
        <v>117</v>
      </c>
      <c r="W9" s="99"/>
      <c r="X9" s="79" t="s">
        <v>118</v>
      </c>
      <c r="Y9" s="79" t="s">
        <v>119</v>
      </c>
      <c r="Z9" s="80"/>
    </row>
    <row r="10" spans="6:26" ht="23.25" thickBot="1" x14ac:dyDescent="0.3">
      <c r="F10" s="81" t="s">
        <v>120</v>
      </c>
      <c r="G10" s="82" t="s">
        <v>121</v>
      </c>
      <c r="H10" s="82" t="s">
        <v>121</v>
      </c>
      <c r="I10" s="83"/>
      <c r="J10" s="83"/>
      <c r="K10" s="83"/>
      <c r="L10" s="83"/>
      <c r="M10" s="83"/>
      <c r="N10" s="83"/>
      <c r="O10" s="83"/>
      <c r="P10" s="83"/>
      <c r="Q10" s="83"/>
      <c r="R10" s="83"/>
      <c r="S10" s="83"/>
      <c r="T10" s="83"/>
      <c r="U10" s="83"/>
      <c r="V10" s="100"/>
      <c r="W10" s="101"/>
      <c r="X10" s="83"/>
      <c r="Y10" s="83"/>
      <c r="Z10" s="80"/>
    </row>
    <row r="11" spans="6:26" ht="34.5" thickBot="1" x14ac:dyDescent="0.3">
      <c r="F11" s="81" t="s">
        <v>122</v>
      </c>
      <c r="G11" s="83"/>
      <c r="H11" s="83"/>
      <c r="I11" s="82" t="s">
        <v>121</v>
      </c>
      <c r="J11" s="82" t="s">
        <v>121</v>
      </c>
      <c r="K11" s="83"/>
      <c r="L11" s="83"/>
      <c r="M11" s="83"/>
      <c r="N11" s="83"/>
      <c r="O11" s="83"/>
      <c r="P11" s="83"/>
      <c r="Q11" s="83"/>
      <c r="R11" s="83"/>
      <c r="S11" s="83"/>
      <c r="T11" s="83"/>
      <c r="U11" s="83"/>
      <c r="V11" s="100"/>
      <c r="W11" s="101"/>
      <c r="X11" s="83"/>
      <c r="Y11" s="83"/>
      <c r="Z11" s="80"/>
    </row>
    <row r="12" spans="6:26" ht="15.75" thickBot="1" x14ac:dyDescent="0.3">
      <c r="F12" s="81" t="s">
        <v>123</v>
      </c>
      <c r="G12" s="83"/>
      <c r="H12" s="83"/>
      <c r="I12" s="83"/>
      <c r="J12" s="83"/>
      <c r="K12" s="84" t="s">
        <v>121</v>
      </c>
      <c r="L12" s="84" t="s">
        <v>121</v>
      </c>
      <c r="M12" s="83"/>
      <c r="N12" s="83"/>
      <c r="O12" s="83"/>
      <c r="P12" s="83"/>
      <c r="Q12" s="83"/>
      <c r="R12" s="83"/>
      <c r="S12" s="83"/>
      <c r="T12" s="83"/>
      <c r="U12" s="83"/>
      <c r="V12" s="100"/>
      <c r="W12" s="101"/>
      <c r="X12" s="83"/>
      <c r="Y12" s="83"/>
      <c r="Z12" s="80"/>
    </row>
    <row r="13" spans="6:26" ht="15.75" thickBot="1" x14ac:dyDescent="0.3">
      <c r="F13" s="81" t="s">
        <v>124</v>
      </c>
      <c r="G13" s="83"/>
      <c r="H13" s="83"/>
      <c r="I13" s="83"/>
      <c r="J13" s="83"/>
      <c r="K13" s="83"/>
      <c r="L13" s="83"/>
      <c r="M13" s="84" t="s">
        <v>121</v>
      </c>
      <c r="N13" s="84" t="s">
        <v>121</v>
      </c>
      <c r="O13" s="84" t="s">
        <v>121</v>
      </c>
      <c r="P13" s="83"/>
      <c r="Q13" s="83"/>
      <c r="R13" s="83"/>
      <c r="S13" s="83"/>
      <c r="T13" s="83"/>
      <c r="U13" s="83"/>
      <c r="V13" s="100"/>
      <c r="W13" s="101"/>
      <c r="X13" s="83"/>
      <c r="Y13" s="83"/>
      <c r="Z13" s="80"/>
    </row>
    <row r="14" spans="6:26" ht="15.75" thickBot="1" x14ac:dyDescent="0.3">
      <c r="F14" s="81" t="s">
        <v>125</v>
      </c>
      <c r="G14" s="83"/>
      <c r="H14" s="83"/>
      <c r="I14" s="83"/>
      <c r="J14" s="83"/>
      <c r="K14" s="83"/>
      <c r="L14" s="83"/>
      <c r="M14" s="83"/>
      <c r="N14" s="83"/>
      <c r="O14" s="83"/>
      <c r="P14" s="84" t="s">
        <v>121</v>
      </c>
      <c r="Q14" s="84" t="s">
        <v>121</v>
      </c>
      <c r="R14" s="85" t="s">
        <v>121</v>
      </c>
      <c r="S14" s="83"/>
      <c r="T14" s="83"/>
      <c r="U14" s="83"/>
      <c r="V14" s="100"/>
      <c r="W14" s="101"/>
      <c r="X14" s="83"/>
      <c r="Y14" s="83"/>
      <c r="Z14" s="80"/>
    </row>
    <row r="15" spans="6:26" ht="15.75" thickBot="1" x14ac:dyDescent="0.3">
      <c r="F15" s="81" t="s">
        <v>126</v>
      </c>
      <c r="G15" s="83"/>
      <c r="H15" s="83"/>
      <c r="I15" s="83"/>
      <c r="J15" s="83"/>
      <c r="K15" s="83"/>
      <c r="L15" s="83"/>
      <c r="M15" s="83"/>
      <c r="N15" s="83"/>
      <c r="O15" s="83"/>
      <c r="P15" s="83"/>
      <c r="Q15" s="83"/>
      <c r="R15" s="83"/>
      <c r="S15" s="85" t="s">
        <v>121</v>
      </c>
      <c r="T15" s="85" t="s">
        <v>121</v>
      </c>
      <c r="U15" s="84" t="s">
        <v>121</v>
      </c>
      <c r="V15" s="100"/>
      <c r="W15" s="101"/>
      <c r="X15" s="83"/>
      <c r="Y15" s="83"/>
      <c r="Z15" s="80"/>
    </row>
    <row r="16" spans="6:26" ht="23.25" thickBot="1" x14ac:dyDescent="0.3">
      <c r="F16" s="81" t="s">
        <v>127</v>
      </c>
      <c r="G16" s="83"/>
      <c r="H16" s="83"/>
      <c r="I16" s="83"/>
      <c r="J16" s="83"/>
      <c r="K16" s="83"/>
      <c r="L16" s="83"/>
      <c r="M16" s="83"/>
      <c r="N16" s="83"/>
      <c r="O16" s="83"/>
      <c r="P16" s="83"/>
      <c r="Q16" s="83"/>
      <c r="R16" s="83"/>
      <c r="S16" s="83"/>
      <c r="T16" s="83"/>
      <c r="U16" s="83"/>
      <c r="V16" s="102" t="s">
        <v>121</v>
      </c>
      <c r="W16" s="103"/>
      <c r="X16" s="86" t="s">
        <v>121</v>
      </c>
      <c r="Y16" s="83"/>
      <c r="Z16" s="80"/>
    </row>
    <row r="17" spans="6:26" ht="34.5" thickBot="1" x14ac:dyDescent="0.3">
      <c r="F17" s="81" t="s">
        <v>128</v>
      </c>
      <c r="G17" s="83"/>
      <c r="H17" s="83"/>
      <c r="I17" s="83"/>
      <c r="J17" s="83"/>
      <c r="K17" s="83"/>
      <c r="L17" s="83"/>
      <c r="M17" s="83"/>
      <c r="N17" s="83"/>
      <c r="O17" s="83"/>
      <c r="P17" s="83"/>
      <c r="Q17" s="83"/>
      <c r="R17" s="83"/>
      <c r="S17" s="83"/>
      <c r="T17" s="83"/>
      <c r="U17" s="83"/>
      <c r="V17" s="100"/>
      <c r="W17" s="101"/>
      <c r="X17" s="83"/>
      <c r="Y17" s="86" t="s">
        <v>121</v>
      </c>
      <c r="Z17" s="80"/>
    </row>
  </sheetData>
  <mergeCells count="13">
    <mergeCell ref="V17:W17"/>
    <mergeCell ref="V11:W11"/>
    <mergeCell ref="V12:W12"/>
    <mergeCell ref="V13:W13"/>
    <mergeCell ref="V14:W14"/>
    <mergeCell ref="V15:W15"/>
    <mergeCell ref="V16:W16"/>
    <mergeCell ref="F8:F9"/>
    <mergeCell ref="G8:J8"/>
    <mergeCell ref="K8:V8"/>
    <mergeCell ref="W8:Z8"/>
    <mergeCell ref="V9:W9"/>
    <mergeCell ref="V10:W1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Hoja1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Alumno Plaza Vespucio</cp:lastModifiedBy>
  <cp:revision/>
  <dcterms:created xsi:type="dcterms:W3CDTF">2023-08-07T04:08:01Z</dcterms:created>
  <dcterms:modified xsi:type="dcterms:W3CDTF">2026-09-07T12:48:31Z</dcterms:modified>
  <cp:category/>
  <cp:contentStatus/>
</cp:coreProperties>
</file>