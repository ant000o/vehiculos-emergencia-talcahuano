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LZHKTcWn/HTQ59+L7gk5oGTcDLvE6u0gFEbX/w77uFE="/>
    </ext>
  </extLst>
</workbook>
</file>

<file path=xl/sharedStrings.xml><?xml version="1.0" encoding="utf-8"?>
<sst xmlns="http://schemas.openxmlformats.org/spreadsheetml/2006/main" count="131" uniqueCount="74">
  <si>
    <t>DUOC UC — Escuela de Informática y Telecomunicaciones</t>
  </si>
  <si>
    <t>Product Backlog Priorizado — Sistema de Control y Seguimiento de Mantención de Vehículos de Emergencia</t>
  </si>
  <si>
    <t>Rank</t>
  </si>
  <si>
    <t>ID</t>
  </si>
  <si>
    <t>Historia / Ítem del Backlog</t>
  </si>
  <si>
    <t>Épica</t>
  </si>
  <si>
    <t>Valor de
Negocio (1-10)</t>
  </si>
  <si>
    <t>Esfuerzo
(SP)</t>
  </si>
  <si>
    <t>Ratio
Prioridad</t>
  </si>
  <si>
    <t>Sprint
Asignado</t>
  </si>
  <si>
    <t>Estado</t>
  </si>
  <si>
    <t>HU-04</t>
  </si>
  <si>
    <t>Yo como Admin, necesito editar la ficha técnica, con la finalidad de actualizar información errónea.</t>
  </si>
  <si>
    <t>EP-02</t>
  </si>
  <si>
    <t>Sprint 0</t>
  </si>
  <si>
    <t>Por iniciar</t>
  </si>
  <si>
    <t>HU-01</t>
  </si>
  <si>
    <t>Yo como Usuario, necesito iniciar sesión, con la finalidad de acceder a las funciones de mi perfil.</t>
  </si>
  <si>
    <t>EP-01</t>
  </si>
  <si>
    <t>HU-03</t>
  </si>
  <si>
    <t>Yo como Admin, necesito registrar nuevos vehículos, con la finalidad de centralizar el inventario.</t>
  </si>
  <si>
    <t>HU-07</t>
  </si>
  <si>
    <t>Yo como Conductor, necesito consultar el estado operativo, con la finalidad de saber si está disponible.</t>
  </si>
  <si>
    <t>EP-03</t>
  </si>
  <si>
    <t>Sprint 1</t>
  </si>
  <si>
    <t>HU-09</t>
  </si>
  <si>
    <t>Yo como Mecánico, necesito registrar mantención reactiva, con la finalidad de documentar reparaciones.</t>
  </si>
  <si>
    <t>EP-04</t>
  </si>
  <si>
    <t>HU-11</t>
  </si>
  <si>
    <t>Yo como Conductor, necesito marcar el estado de un grifo, con la finalidad de actualizar disponibilidad de agua.</t>
  </si>
  <si>
    <t>EP-05</t>
  </si>
  <si>
    <t>HU-06</t>
  </si>
  <si>
    <t>Yo como Mecánico, necesito ver el historial de estados, con la finalidad de detectar patrones de desgaste.</t>
  </si>
  <si>
    <t>HU-05</t>
  </si>
  <si>
    <t>Yo como Conductor, necesito registrar el estado diario, con la finalidad de informar condiciones operativas.</t>
  </si>
  <si>
    <t>HU-02</t>
  </si>
  <si>
    <t>Yo como Admin, necesito gestionar cuentas, con la finalidad de controlar el acceso al sistema.</t>
  </si>
  <si>
    <t>HU-08</t>
  </si>
  <si>
    <t>Yo como Mecánico, necesito registrar mantención preventiva, con la finalidad de controlar el plan de mantenimiento.</t>
  </si>
  <si>
    <t>HU-10</t>
  </si>
  <si>
    <t>Yo como Mecánico, necesito descontar repuestos utilizados, con la finalidad de controlar inventario y costos.</t>
  </si>
  <si>
    <t>HU-13</t>
  </si>
  <si>
    <t>Yo como Oficial, necesito filtrar la flota por estado, con la finalidad de saber cuántas máquinas están caídas.</t>
  </si>
  <si>
    <t>EP-06</t>
  </si>
  <si>
    <t>Sprint 2</t>
  </si>
  <si>
    <t>HU-12</t>
  </si>
  <si>
    <t>Yo como Oficial, necesito buscar vehículos por patente, con la finalidad de localizar un móvil rápidamente.</t>
  </si>
  <si>
    <t>HU-14</t>
  </si>
  <si>
    <t>Yo como Oficial, necesito buscar grifos por identificador, con la finalidad de verificar abastecimiento hídrico.</t>
  </si>
  <si>
    <t>HU-16</t>
  </si>
  <si>
    <t>Yo como Oficial, necesito ser notificado de una falla grave, con la finalidad de sacar el vehículo de servicio.</t>
  </si>
  <si>
    <t>EP-07</t>
  </si>
  <si>
    <t>HU-15</t>
  </si>
  <si>
    <t>Yo como Mecánico, necesito alerta de mantención próxima, con la finalidad de programar ingresos al taller.</t>
  </si>
  <si>
    <t>HU-19</t>
  </si>
  <si>
    <t>Yo como Central, necesito registrar coordenadas de emergencia, con la finalidad de cruzar el siniestro con recursos.</t>
  </si>
  <si>
    <t>EP-09</t>
  </si>
  <si>
    <t>Sprint 3</t>
  </si>
  <si>
    <t>HU-20</t>
  </si>
  <si>
    <t>Yo como Central, necesito despachar un vehículo, con la finalidad de formalizar la orden de salida.</t>
  </si>
  <si>
    <t>HU-23</t>
  </si>
  <si>
    <t>Yo como Admin, necesito exportar un reporte de gastos, con la finalidad de presentar rendiciones contables.</t>
  </si>
  <si>
    <t>EP-10</t>
  </si>
  <si>
    <t>HU-24</t>
  </si>
  <si>
    <t>Yo como Comandancia, necesito consultar tabla de tiempos, con la finalidad de evaluar vida útil de las máquinas.</t>
  </si>
  <si>
    <t>HU-21</t>
  </si>
  <si>
    <t>Yo como Conductor, necesito notificación de despacho, con la finalidad de enterarme al instante de la salida.</t>
  </si>
  <si>
    <t>HU-18</t>
  </si>
  <si>
    <t>Yo como Conductor, necesito ver grifos en el mapa, con la finalidad de planificar conexión a red de agua.</t>
  </si>
  <si>
    <t>EP-08</t>
  </si>
  <si>
    <t>HU-22</t>
  </si>
  <si>
    <t>Yo como Comandancia, necesito visualizar gráficos, con la finalidad de evaluar eficiencia mecánica.</t>
  </si>
  <si>
    <t>HU-17</t>
  </si>
  <si>
    <t>Yo como Central, necesito visualizar la flota en un mapa web, con la finalidad de tener conciencia espacial.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</si>
</sst>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2.0"/>
      <color rgb="FF1B3A6B"/>
      <name val="Arial"/>
    </font>
    <font>
      <b/>
      <sz val="10.0"/>
      <color rgb="FFFFFFFF"/>
      <name val="Arial"/>
    </font>
    <font>
      <sz val="10.0"/>
      <color rgb="FF1F1F1F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2E5FA3"/>
        <bgColor rgb="FF2E5FA3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0"/>
    </xf>
    <xf borderId="4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top" wrapText="1"/>
    </xf>
    <xf borderId="0" fillId="4" fontId="6" numFmtId="164" xfId="0" applyAlignment="1" applyFill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9.0"/>
    <col customWidth="1" min="3" max="3" width="40.0"/>
    <col customWidth="1" min="4" max="4" width="11.0"/>
    <col customWidth="1" min="5" max="5" width="13.0"/>
    <col customWidth="1" min="6" max="6" width="10.0"/>
    <col customWidth="1" min="7" max="7" width="11.0"/>
    <col customWidth="1" min="8" max="8" width="13.0"/>
    <col customWidth="1" min="9" max="9" width="14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42.0" customHeight="1">
      <c r="A5" s="6">
        <v>1.0</v>
      </c>
      <c r="B5" s="6" t="s">
        <v>11</v>
      </c>
      <c r="C5" s="6" t="s">
        <v>12</v>
      </c>
      <c r="D5" s="6" t="s">
        <v>13</v>
      </c>
      <c r="E5" s="6">
        <v>7.0</v>
      </c>
      <c r="F5" s="6">
        <v>2.0</v>
      </c>
      <c r="G5" s="7">
        <f t="shared" ref="G5:G28" si="1">E5/F5</f>
        <v>3.5</v>
      </c>
      <c r="H5" s="6" t="s">
        <v>14</v>
      </c>
      <c r="I5" s="6" t="s">
        <v>15</v>
      </c>
    </row>
    <row r="6" ht="42.0" customHeight="1">
      <c r="A6" s="6">
        <v>2.0</v>
      </c>
      <c r="B6" s="6" t="s">
        <v>16</v>
      </c>
      <c r="C6" s="6" t="s">
        <v>17</v>
      </c>
      <c r="D6" s="6" t="s">
        <v>18</v>
      </c>
      <c r="E6" s="6">
        <v>10.0</v>
      </c>
      <c r="F6" s="6">
        <v>3.0</v>
      </c>
      <c r="G6" s="7">
        <f t="shared" si="1"/>
        <v>3.333333333</v>
      </c>
      <c r="H6" s="6" t="s">
        <v>14</v>
      </c>
      <c r="I6" s="6" t="s">
        <v>15</v>
      </c>
    </row>
    <row r="7" ht="36.0" customHeight="1">
      <c r="A7" s="6">
        <v>3.0</v>
      </c>
      <c r="B7" s="6" t="s">
        <v>19</v>
      </c>
      <c r="C7" s="6" t="s">
        <v>20</v>
      </c>
      <c r="D7" s="6" t="s">
        <v>13</v>
      </c>
      <c r="E7" s="6">
        <v>10.0</v>
      </c>
      <c r="F7" s="6">
        <v>3.0</v>
      </c>
      <c r="G7" s="7">
        <f t="shared" si="1"/>
        <v>3.333333333</v>
      </c>
      <c r="H7" s="6" t="s">
        <v>14</v>
      </c>
      <c r="I7" s="6" t="s">
        <v>15</v>
      </c>
    </row>
    <row r="8" ht="36.0" customHeight="1">
      <c r="A8" s="6">
        <v>4.0</v>
      </c>
      <c r="B8" s="6" t="s">
        <v>21</v>
      </c>
      <c r="C8" s="6" t="s">
        <v>22</v>
      </c>
      <c r="D8" s="6" t="s">
        <v>23</v>
      </c>
      <c r="E8" s="6">
        <v>9.0</v>
      </c>
      <c r="F8" s="6">
        <v>2.0</v>
      </c>
      <c r="G8" s="7">
        <f t="shared" si="1"/>
        <v>4.5</v>
      </c>
      <c r="H8" s="6" t="s">
        <v>24</v>
      </c>
      <c r="I8" s="6" t="s">
        <v>15</v>
      </c>
    </row>
    <row r="9" ht="36.0" customHeight="1">
      <c r="A9" s="6">
        <v>5.0</v>
      </c>
      <c r="B9" s="6" t="s">
        <v>25</v>
      </c>
      <c r="C9" s="6" t="s">
        <v>26</v>
      </c>
      <c r="D9" s="6" t="s">
        <v>27</v>
      </c>
      <c r="E9" s="6">
        <v>9.0</v>
      </c>
      <c r="F9" s="6">
        <v>3.0</v>
      </c>
      <c r="G9" s="7">
        <f t="shared" si="1"/>
        <v>3</v>
      </c>
      <c r="H9" s="6" t="s">
        <v>24</v>
      </c>
      <c r="I9" s="6" t="s">
        <v>15</v>
      </c>
    </row>
    <row r="10">
      <c r="A10" s="6">
        <v>6.0</v>
      </c>
      <c r="B10" s="6" t="s">
        <v>28</v>
      </c>
      <c r="C10" s="6" t="s">
        <v>29</v>
      </c>
      <c r="D10" s="6" t="s">
        <v>30</v>
      </c>
      <c r="E10" s="6">
        <v>9.0</v>
      </c>
      <c r="F10" s="6">
        <v>3.0</v>
      </c>
      <c r="G10" s="7">
        <f t="shared" si="1"/>
        <v>3</v>
      </c>
      <c r="H10" s="6" t="s">
        <v>24</v>
      </c>
      <c r="I10" s="6" t="s">
        <v>15</v>
      </c>
    </row>
    <row r="11" ht="36.0" customHeight="1">
      <c r="A11" s="6">
        <v>7.0</v>
      </c>
      <c r="B11" s="6" t="s">
        <v>31</v>
      </c>
      <c r="C11" s="6" t="s">
        <v>32</v>
      </c>
      <c r="D11" s="6" t="s">
        <v>23</v>
      </c>
      <c r="E11" s="6">
        <v>8.0</v>
      </c>
      <c r="F11" s="6">
        <v>3.0</v>
      </c>
      <c r="G11" s="7">
        <f t="shared" si="1"/>
        <v>2.666666667</v>
      </c>
      <c r="H11" s="6" t="s">
        <v>24</v>
      </c>
      <c r="I11" s="6" t="s">
        <v>15</v>
      </c>
    </row>
    <row r="12">
      <c r="A12" s="6">
        <v>9.0</v>
      </c>
      <c r="B12" s="6" t="s">
        <v>33</v>
      </c>
      <c r="C12" s="6" t="s">
        <v>34</v>
      </c>
      <c r="D12" s="6" t="s">
        <v>23</v>
      </c>
      <c r="E12" s="6">
        <v>10.0</v>
      </c>
      <c r="F12" s="6">
        <v>5.0</v>
      </c>
      <c r="G12" s="7">
        <f t="shared" si="1"/>
        <v>2</v>
      </c>
      <c r="H12" s="6" t="s">
        <v>24</v>
      </c>
      <c r="I12" s="6" t="s">
        <v>15</v>
      </c>
    </row>
    <row r="13" ht="36.0" customHeight="1">
      <c r="A13" s="6">
        <v>10.0</v>
      </c>
      <c r="B13" s="6" t="s">
        <v>35</v>
      </c>
      <c r="C13" s="6" t="s">
        <v>36</v>
      </c>
      <c r="D13" s="6" t="s">
        <v>18</v>
      </c>
      <c r="E13" s="6">
        <v>9.0</v>
      </c>
      <c r="F13" s="6">
        <v>5.0</v>
      </c>
      <c r="G13" s="7">
        <f t="shared" si="1"/>
        <v>1.8</v>
      </c>
      <c r="H13" s="6" t="s">
        <v>24</v>
      </c>
      <c r="I13" s="6" t="s">
        <v>15</v>
      </c>
    </row>
    <row r="14">
      <c r="A14" s="6">
        <v>11.0</v>
      </c>
      <c r="B14" s="6" t="s">
        <v>37</v>
      </c>
      <c r="C14" s="6" t="s">
        <v>38</v>
      </c>
      <c r="D14" s="6" t="s">
        <v>27</v>
      </c>
      <c r="E14" s="6">
        <v>9.0</v>
      </c>
      <c r="F14" s="6">
        <v>5.0</v>
      </c>
      <c r="G14" s="7">
        <f t="shared" si="1"/>
        <v>1.8</v>
      </c>
      <c r="H14" s="6" t="s">
        <v>24</v>
      </c>
      <c r="I14" s="6" t="s">
        <v>15</v>
      </c>
    </row>
    <row r="15">
      <c r="A15" s="6">
        <v>12.0</v>
      </c>
      <c r="B15" s="6" t="s">
        <v>39</v>
      </c>
      <c r="C15" s="6" t="s">
        <v>40</v>
      </c>
      <c r="D15" s="6" t="s">
        <v>27</v>
      </c>
      <c r="E15" s="6">
        <v>8.0</v>
      </c>
      <c r="F15" s="6">
        <v>5.0</v>
      </c>
      <c r="G15" s="7">
        <f t="shared" si="1"/>
        <v>1.6</v>
      </c>
      <c r="H15" s="6" t="s">
        <v>24</v>
      </c>
      <c r="I15" s="6" t="s">
        <v>15</v>
      </c>
    </row>
    <row r="16">
      <c r="A16" s="6">
        <v>13.0</v>
      </c>
      <c r="B16" s="6" t="s">
        <v>41</v>
      </c>
      <c r="C16" s="6" t="s">
        <v>42</v>
      </c>
      <c r="D16" s="6" t="s">
        <v>43</v>
      </c>
      <c r="E16" s="6">
        <v>7.0</v>
      </c>
      <c r="F16" s="6">
        <v>2.0</v>
      </c>
      <c r="G16" s="7">
        <f t="shared" si="1"/>
        <v>3.5</v>
      </c>
      <c r="H16" s="6" t="s">
        <v>44</v>
      </c>
      <c r="I16" s="6" t="s">
        <v>15</v>
      </c>
    </row>
    <row r="17">
      <c r="A17" s="6">
        <v>14.0</v>
      </c>
      <c r="B17" s="6" t="s">
        <v>45</v>
      </c>
      <c r="C17" s="6" t="s">
        <v>46</v>
      </c>
      <c r="D17" s="6" t="s">
        <v>43</v>
      </c>
      <c r="E17" s="6">
        <v>8.0</v>
      </c>
      <c r="F17" s="6">
        <v>3.0</v>
      </c>
      <c r="G17" s="7">
        <f t="shared" si="1"/>
        <v>2.666666667</v>
      </c>
      <c r="H17" s="6" t="s">
        <v>44</v>
      </c>
      <c r="I17" s="6" t="s">
        <v>15</v>
      </c>
    </row>
    <row r="18" ht="15.75" customHeight="1">
      <c r="A18" s="6">
        <v>15.0</v>
      </c>
      <c r="B18" s="6" t="s">
        <v>47</v>
      </c>
      <c r="C18" s="6" t="s">
        <v>48</v>
      </c>
      <c r="D18" s="6" t="s">
        <v>43</v>
      </c>
      <c r="E18" s="6">
        <v>8.0</v>
      </c>
      <c r="F18" s="6">
        <v>3.0</v>
      </c>
      <c r="G18" s="7">
        <f t="shared" si="1"/>
        <v>2.666666667</v>
      </c>
      <c r="H18" s="6" t="s">
        <v>44</v>
      </c>
      <c r="I18" s="6" t="s">
        <v>15</v>
      </c>
    </row>
    <row r="19" ht="15.75" customHeight="1">
      <c r="A19" s="6">
        <v>16.0</v>
      </c>
      <c r="B19" s="6" t="s">
        <v>49</v>
      </c>
      <c r="C19" s="6" t="s">
        <v>50</v>
      </c>
      <c r="D19" s="6" t="s">
        <v>51</v>
      </c>
      <c r="E19" s="6">
        <v>9.0</v>
      </c>
      <c r="F19" s="6">
        <v>5.0</v>
      </c>
      <c r="G19" s="7">
        <f t="shared" si="1"/>
        <v>1.8</v>
      </c>
      <c r="H19" s="6" t="s">
        <v>44</v>
      </c>
      <c r="I19" s="6" t="s">
        <v>15</v>
      </c>
    </row>
    <row r="20" ht="15.75" customHeight="1">
      <c r="A20" s="6">
        <v>17.0</v>
      </c>
      <c r="B20" s="6" t="s">
        <v>52</v>
      </c>
      <c r="C20" s="6" t="s">
        <v>53</v>
      </c>
      <c r="D20" s="6" t="s">
        <v>51</v>
      </c>
      <c r="E20" s="6">
        <v>8.0</v>
      </c>
      <c r="F20" s="6">
        <v>5.0</v>
      </c>
      <c r="G20" s="7">
        <f t="shared" si="1"/>
        <v>1.6</v>
      </c>
      <c r="H20" s="6" t="s">
        <v>44</v>
      </c>
      <c r="I20" s="6" t="s">
        <v>15</v>
      </c>
    </row>
    <row r="21" ht="15.75" customHeight="1">
      <c r="A21" s="6">
        <v>18.0</v>
      </c>
      <c r="B21" s="6" t="s">
        <v>54</v>
      </c>
      <c r="C21" s="6" t="s">
        <v>55</v>
      </c>
      <c r="D21" s="6" t="s">
        <v>56</v>
      </c>
      <c r="E21" s="6">
        <v>9.0</v>
      </c>
      <c r="F21" s="6">
        <v>3.0</v>
      </c>
      <c r="G21" s="7">
        <f t="shared" si="1"/>
        <v>3</v>
      </c>
      <c r="H21" s="6" t="s">
        <v>57</v>
      </c>
      <c r="I21" s="6" t="s">
        <v>15</v>
      </c>
    </row>
    <row r="22" ht="15.75" customHeight="1">
      <c r="A22" s="6">
        <v>19.0</v>
      </c>
      <c r="B22" s="6" t="s">
        <v>58</v>
      </c>
      <c r="C22" s="6" t="s">
        <v>59</v>
      </c>
      <c r="D22" s="6" t="s">
        <v>56</v>
      </c>
      <c r="E22" s="6">
        <v>10.0</v>
      </c>
      <c r="F22" s="6">
        <v>5.0</v>
      </c>
      <c r="G22" s="7">
        <f t="shared" si="1"/>
        <v>2</v>
      </c>
      <c r="H22" s="6" t="s">
        <v>57</v>
      </c>
      <c r="I22" s="6" t="s">
        <v>15</v>
      </c>
    </row>
    <row r="23" ht="15.75" customHeight="1">
      <c r="A23" s="6">
        <v>20.0</v>
      </c>
      <c r="B23" s="6" t="s">
        <v>60</v>
      </c>
      <c r="C23" s="6" t="s">
        <v>61</v>
      </c>
      <c r="D23" s="6" t="s">
        <v>62</v>
      </c>
      <c r="E23" s="6">
        <v>6.0</v>
      </c>
      <c r="F23" s="6">
        <v>3.0</v>
      </c>
      <c r="G23" s="7">
        <f t="shared" si="1"/>
        <v>2</v>
      </c>
      <c r="H23" s="6" t="s">
        <v>57</v>
      </c>
      <c r="I23" s="6" t="s">
        <v>15</v>
      </c>
    </row>
    <row r="24" ht="15.75" customHeight="1">
      <c r="A24" s="6">
        <v>21.0</v>
      </c>
      <c r="B24" s="6" t="s">
        <v>63</v>
      </c>
      <c r="C24" s="6" t="s">
        <v>64</v>
      </c>
      <c r="D24" s="6" t="s">
        <v>62</v>
      </c>
      <c r="E24" s="6">
        <v>6.0</v>
      </c>
      <c r="F24" s="6">
        <v>3.0</v>
      </c>
      <c r="G24" s="7">
        <f t="shared" si="1"/>
        <v>2</v>
      </c>
      <c r="H24" s="6" t="s">
        <v>57</v>
      </c>
      <c r="I24" s="6" t="s">
        <v>15</v>
      </c>
    </row>
    <row r="25" ht="15.75" customHeight="1">
      <c r="A25" s="6">
        <v>22.0</v>
      </c>
      <c r="B25" s="6" t="s">
        <v>65</v>
      </c>
      <c r="C25" s="6" t="s">
        <v>66</v>
      </c>
      <c r="D25" s="6" t="s">
        <v>56</v>
      </c>
      <c r="E25" s="6">
        <v>9.0</v>
      </c>
      <c r="F25" s="6">
        <v>5.0</v>
      </c>
      <c r="G25" s="7">
        <f t="shared" si="1"/>
        <v>1.8</v>
      </c>
      <c r="H25" s="6" t="s">
        <v>57</v>
      </c>
      <c r="I25" s="6" t="s">
        <v>15</v>
      </c>
    </row>
    <row r="26" ht="15.75" customHeight="1">
      <c r="A26" s="6">
        <v>23.0</v>
      </c>
      <c r="B26" s="6" t="s">
        <v>67</v>
      </c>
      <c r="C26" s="6" t="s">
        <v>68</v>
      </c>
      <c r="D26" s="6" t="s">
        <v>69</v>
      </c>
      <c r="E26" s="6">
        <v>8.0</v>
      </c>
      <c r="F26" s="6">
        <v>5.0</v>
      </c>
      <c r="G26" s="7">
        <f t="shared" si="1"/>
        <v>1.6</v>
      </c>
      <c r="H26" s="6" t="s">
        <v>57</v>
      </c>
      <c r="I26" s="6" t="s">
        <v>15</v>
      </c>
    </row>
    <row r="27" ht="15.75" customHeight="1">
      <c r="A27" s="6">
        <v>24.0</v>
      </c>
      <c r="B27" s="6" t="s">
        <v>70</v>
      </c>
      <c r="C27" s="6" t="s">
        <v>71</v>
      </c>
      <c r="D27" s="6" t="s">
        <v>62</v>
      </c>
      <c r="E27" s="6">
        <v>7.0</v>
      </c>
      <c r="F27" s="6">
        <v>5.0</v>
      </c>
      <c r="G27" s="7">
        <f t="shared" si="1"/>
        <v>1.4</v>
      </c>
      <c r="H27" s="6" t="s">
        <v>57</v>
      </c>
      <c r="I27" s="6" t="s">
        <v>15</v>
      </c>
    </row>
    <row r="28" ht="15.75" customHeight="1">
      <c r="A28" s="6">
        <v>25.0</v>
      </c>
      <c r="B28" s="6" t="s">
        <v>72</v>
      </c>
      <c r="C28" s="6" t="s">
        <v>73</v>
      </c>
      <c r="D28" s="6" t="s">
        <v>69</v>
      </c>
      <c r="E28" s="6">
        <v>10.0</v>
      </c>
      <c r="F28" s="6">
        <v>8.0</v>
      </c>
      <c r="G28" s="7">
        <f t="shared" si="1"/>
        <v>1.25</v>
      </c>
      <c r="H28" s="6" t="s">
        <v>57</v>
      </c>
      <c r="I28" s="6" t="s">
        <v>15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I1"/>
    <mergeCell ref="A2:I2"/>
  </mergeCells>
  <conditionalFormatting sqref="G5:G28">
    <cfRule type="colorScale" priority="1">
      <colorScale>
        <cfvo type="min" val="0"/>
        <cfvo type="max" val="0"/>
        <color rgb="FFFFFFFF"/>
        <color rgb="FF63BE7B"/>
      </colorScale>
    </cfRule>
  </conditionalFormatting>
  <dataValidations>
    <dataValidation type="decimal" allowBlank="1" sqref="E5:E15">
      <formula1>1.0</formula1>
      <formula2>10.0</formula2>
    </dataValidation>
    <dataValidation type="list" allowBlank="1" sqref="F5:F15">
      <formula1>"1,2,3,5,8,13"</formula1>
    </dataValidation>
    <dataValidation type="list" allowBlank="1" sqref="H5:H15">
      <formula1>"Sprint 0,Sprint 1,Sprint 2,Sprint 3"</formula1>
    </dataValidation>
    <dataValidation type="list" allowBlank="1" sqref="I5:I15">
      <formula1>"Por iniciar,En curso,Terminado"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2026-08-19T06:31:16Z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